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os priorizados" sheetId="1" state="visible" r:id="rId3"/>
    <sheet name="Ciclo de vida y trazabilidad" sheetId="2" state="visible" r:id="rId4"/>
    <sheet name="Metricas de calida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<sst xmlns="http://schemas.openxmlformats.org/spreadsheetml/2006/main" count="222" uniqueCount="136">
  <si>
    <t xml:space="preserve">Reporte de defectos priorizados con trazabilidad  ·  POST /register (TYVS)</t>
  </si>
  <si>
    <t xml:space="preserve">Priorizacion tecnica: Score = Severidad x Frecuencia x Impacto (3=Alto, 2=Medio, 1=Bajo). A mayor score, mayor prioridad de atencion.</t>
  </si>
  <si>
    <t xml:space="preserve">Rank</t>
  </si>
  <si>
    <t xml:space="preserve">ID</t>
  </si>
  <si>
    <t xml:space="preserve">Titulo</t>
  </si>
  <si>
    <t xml:space="preserve">Severidad</t>
  </si>
  <si>
    <t xml:space="preserve">Frecuencia</t>
  </si>
  <si>
    <t xml:space="preserve">Impacto</t>
  </si>
  <si>
    <t xml:space="preserve">Score</t>
  </si>
  <si>
    <t xml:space="preserve">Prioridad</t>
  </si>
  <si>
    <t xml:space="preserve">DEF-PERF-01</t>
  </si>
  <si>
    <t xml:space="preserve">Throughput estancado por escritura serializada (cuello de botella raíz)</t>
  </si>
  <si>
    <t xml:space="preserve">Alta</t>
  </si>
  <si>
    <t xml:space="preserve">Alto</t>
  </si>
  <si>
    <t xml:space="preserve">P1</t>
  </si>
  <si>
    <t xml:space="preserve">DEF-PERF-02</t>
  </si>
  <si>
    <t xml:space="preserve">Incumplimiento del SLO de latencia (p95/p99) bajo Stress y Spike</t>
  </si>
  <si>
    <t xml:space="preserve">DEF-PERF-03</t>
  </si>
  <si>
    <t xml:space="preserve">Ausencia de backpressure / degradación no controlada en picos</t>
  </si>
  <si>
    <t xml:space="preserve">Media</t>
  </si>
  <si>
    <t xml:space="preserve">Medio</t>
  </si>
  <si>
    <t xml:space="preserve">P2</t>
  </si>
  <si>
    <t xml:space="preserve">DEF-PERF-04</t>
  </si>
  <si>
    <t xml:space="preserve">Verificación de duplicado no atómica (condición de carrera latente)</t>
  </si>
  <si>
    <t xml:space="preserve">Baja</t>
  </si>
  <si>
    <t xml:space="preserve">DEF-PERF-01  —  Throughput estancado por escritura serializada (cuello de botella raíz)</t>
  </si>
  <si>
    <t xml:space="preserve">Tipo / Clasificacion</t>
  </si>
  <si>
    <t xml:space="preserve">Rendimiento / Escalabilidad</t>
  </si>
  <si>
    <t xml:space="preserve">Componente</t>
  </si>
  <si>
    <t xml:space="preserve">Capa de persistencia — POST /register</t>
  </si>
  <si>
    <t xml:space="preserve">Escenario(s)</t>
  </si>
  <si>
    <t xml:space="preserve">Load, Stress, Spike</t>
  </si>
  <si>
    <t xml:space="preserve">Estado actual</t>
  </si>
  <si>
    <t xml:space="preserve">En progreso</t>
  </si>
  <si>
    <t xml:space="preserve">Descripcion (identificacion)</t>
  </si>
  <si>
    <t xml:space="preserve">El throughput permanece plano en ~170-179 req/s aunque la concurrencia crezca de 8 a 160 usuarios (x20). El sistema no aprovecha la concurrencia: los hilos compiten por un único candado de escritura (conexión única a H2).</t>
  </si>
  <si>
    <t xml:space="preserve">Causa raiz / probable</t>
  </si>
  <si>
    <t xml:space="preserve">Persistencia serializada (candado global / conexión única, sin pool de conexiones).</t>
  </si>
  <si>
    <t xml:space="preserve">Evidencia (trazabilidad)</t>
  </si>
  <si>
    <t xml:space="preserve">evidencias/02_throughput_por_escenario.png; Ley de Little (Spike: 160/175.6 = 911 ms = latencia medida).</t>
  </si>
  <si>
    <t xml:space="preserve">SLO afectado</t>
  </si>
  <si>
    <t xml:space="preserve">Causa raíz del incumplimiento de SLO-1 y SLO-2.</t>
  </si>
  <si>
    <t xml:space="preserve">Propuesta de remediacion</t>
  </si>
  <si>
    <t xml:space="preserve">Introducir pool de conexiones (HikariCP) y permitir escrituras concurrentes; migrar a BD con control de concurrencia por fila (PostgreSQL).</t>
  </si>
  <si>
    <t xml:space="preserve">Criterio de cierre</t>
  </si>
  <si>
    <t xml:space="preserve">Prueba de regresión de rendimiento: el throughput crece con la concurrencia y p95 &lt; 300 ms se mantiene hasta &gt; 100 VUs.</t>
  </si>
  <si>
    <t xml:space="preserve">Disposicion / cierre</t>
  </si>
  <si>
    <t xml:space="preserve">Abierto — en remediación (must-fix para producción).</t>
  </si>
  <si>
    <t xml:space="preserve">Bitacora de seguimiento</t>
  </si>
  <si>
    <t xml:space="preserve">2026-06-08  ·  Identificado</t>
  </si>
  <si>
    <t xml:space="preserve">Detectado en análisis de throughput (escenarios Load/Stress/Spike).</t>
  </si>
  <si>
    <t xml:space="preserve">2026-06-09  ·  Triado/Clasificado</t>
  </si>
  <si>
    <t xml:space="preserve">Severidad Alta, Prioridad P1. Confirmado como cuello de botella raíz.</t>
  </si>
  <si>
    <t xml:space="preserve">2026-06-10  ·  Asignado</t>
  </si>
  <si>
    <t xml:space="preserve">Asignado a remediación de persistencia.</t>
  </si>
  <si>
    <t xml:space="preserve">2026-06-12  ·  En progreso</t>
  </si>
  <si>
    <t xml:space="preserve">Definidos criterios de cierre y prueba de regresión.</t>
  </si>
  <si>
    <t xml:space="preserve">DEF-PERF-02  —  Incumplimiento del SLO de latencia (p95/p99) bajo Stress y Spike</t>
  </si>
  <si>
    <t xml:space="preserve">Rendimiento / Nivel de servicio (SLO)</t>
  </si>
  <si>
    <t xml:space="preserve">Endpoint POST /register (extremo a extremo)</t>
  </si>
  <si>
    <t xml:space="preserve">Stress (p95=710 ms), Spike (p95=909 ms, p99=934.7 ms)</t>
  </si>
  <si>
    <t xml:space="preserve">Abierto</t>
  </si>
  <si>
    <t xml:space="preserve">El SLO-1 (p95 &lt; 300 ms) se incumple desde Stress (710 ms, 2,4x el umbral) y alcanza 909 ms en Spike (3x). El SLO-2 (p99 &lt; 800 ms) también se incumple en Spike (934,7 ms).</t>
  </si>
  <si>
    <t xml:space="preserve">Encolamiento detrás del recurso serializado; consecuencia directa de DEF-PERF-01.</t>
  </si>
  <si>
    <t xml:space="preserve">evidencias/06_cumplimiento_slo_p95.png; evidencias/01_latencia_por_escenario.png; results/statistics.csv.</t>
  </si>
  <si>
    <t xml:space="preserve">SLO-1 (Stress, Spike) y SLO-2 (Spike).</t>
  </si>
  <si>
    <t xml:space="preserve">Resolver DEF-PERF-01; definir y validar la capacidad segura (~40-50 VUs) y aplicar autoescalado al superarla.</t>
  </si>
  <si>
    <t xml:space="preserve">Reejecución de Stress y Spike con p95 &lt; 300 ms y p99 &lt; 800 ms.</t>
  </si>
  <si>
    <t xml:space="preserve">Abierto — bloqueado por DEF-PERF-01 (se resuelve al corregir la causa raíz).</t>
  </si>
  <si>
    <t xml:space="preserve">Detectado al comparar p95/p99 contra umbrales de SLO.</t>
  </si>
  <si>
    <t xml:space="preserve">Severidad Alta, Prioridad P1. Vinculado a DEF-PERF-01 (causa raíz).</t>
  </si>
  <si>
    <t xml:space="preserve">2026-06-10  ·  Abierto</t>
  </si>
  <si>
    <t xml:space="preserve">En espera de la corrección de DEF-PERF-01; criterio de cierre definido.</t>
  </si>
  <si>
    <t xml:space="preserve">DEF-PERF-03  —  Ausencia de backpressure / degradación no controlada en picos</t>
  </si>
  <si>
    <t xml:space="preserve">Rendimiento / Resiliencia</t>
  </si>
  <si>
    <t xml:space="preserve">Control de admisión — POST /register</t>
  </si>
  <si>
    <t xml:space="preserve">Spike (160 VUs, ramp-up casi instantáneo)</t>
  </si>
  <si>
    <t xml:space="preserve">Cerrado - Diferido (aceptado con mitigacion)</t>
  </si>
  <si>
    <t xml:space="preserve">Ante una subida súbita de carga el sistema no rechaza ni encola de forma acotada: acumula latencia hasta ~946 ms (cercana al timeout de 5 s). No hay límite de concurrencia ni respuesta rápida 429/503.</t>
  </si>
  <si>
    <t xml:space="preserve">No existe límite de concurrencia ni cola acotada con política de descarte.</t>
  </si>
  <si>
    <t xml:space="preserve">evidencias/03_timeline_latencia.png; evidencias/04_concurrencia_vs_latencia.png.</t>
  </si>
  <si>
    <t xml:space="preserve">Riesgo sobre SLO-3 (errores) si el pico crece o se prolonga.</t>
  </si>
  <si>
    <t xml:space="preserve">Implementar límite de concurrencia + cola acotada (backpressure) devolviendo 429/503 antes que acumular latencia; circuit breaker en el cliente.</t>
  </si>
  <si>
    <t xml:space="preserve">Ante un pico, el sistema responde 429/503 de forma acotada y la latencia máxima se mantiene por debajo del timeout.</t>
  </si>
  <si>
    <t xml:space="preserve">Diferido a backlog para esta entrega. Mitigación aceptada: operar por debajo de la capacidad segura (40-50 VUs) con alerta de saturación; riesgo residual aceptado para el alcance académico (0 % de errores observado).</t>
  </si>
  <si>
    <t xml:space="preserve">Detectado en la línea de tiempo de latencia del escenario Spike.</t>
  </si>
  <si>
    <t xml:space="preserve">Severidad Media, Prioridad P2.</t>
  </si>
  <si>
    <t xml:space="preserve">2026-06-12  ·  Evaluado</t>
  </si>
  <si>
    <t xml:space="preserve">Sin errores en la corrida; riesgo latente de cascada en picos mayores.</t>
  </si>
  <si>
    <t xml:space="preserve">2026-06-13  ·  Cerrado - Diferido</t>
  </si>
  <si>
    <t xml:space="preserve">Aceptado con mitigación operativa (capacidad segura + alerta).</t>
  </si>
  <si>
    <t xml:space="preserve">DEF-PERF-04  —  Verificación de duplicado no atómica (condición de carrera latente)</t>
  </si>
  <si>
    <t xml:space="preserve">Funcional / Concurrencia / Integridad de datos</t>
  </si>
  <si>
    <t xml:space="preserve">Lógica de registro (existsById + save) — POST /register</t>
  </si>
  <si>
    <t xml:space="preserve">Stress / Spike (alta concurrencia de escritura)</t>
  </si>
  <si>
    <t xml:space="preserve">El registro hace primero existsById y luego save en dos operaciones separadas. Bajo alta concurrencia, dos peticiones con el mismo id pueden pasar la verificación antes de insertar, produciendo una violación de clave primaria (HTTP 500).</t>
  </si>
  <si>
    <t xml:space="preserve">Operación compuesta no transaccional ni atómica.</t>
  </si>
  <si>
    <t xml:space="preserve">Lógica existsById + save no atómica (sección 2 del reporte). En esta corrida se evitó generando IDs únicos por petición → 0 errores.</t>
  </si>
  <si>
    <t xml:space="preserve">Riesgo sobre SLO-3 (errores 5xx) en producción con IDs repetidos.</t>
  </si>
  <si>
    <t xml:space="preserve">Usar INSERT ... ON CONFLICT DO NOTHING (o constraint + manejo del error) para fusionar comprobación e inserción en una sola operación atómica.</t>
  </si>
  <si>
    <t xml:space="preserve">Prueba de concurrencia con IDs repetidos: sin errores 5xx y sin registros perdidos o duplicados.</t>
  </si>
  <si>
    <t xml:space="preserve">Diferido a backlog. Mitigación aceptada: el plan de pruebas genera IDs únicos, por lo que el defecto no es reproducible en este alcance. Riesgo documentado como must-fix previo a producción por su impacto en integridad.</t>
  </si>
  <si>
    <t xml:space="preserve">Detectado por inspección del contrato/lógica del SUT.</t>
  </si>
  <si>
    <t xml:space="preserve">Severidad Media (latente), Prioridad P2. Riesgo de integridad.</t>
  </si>
  <si>
    <t xml:space="preserve">2026-06-12  ·  No reproducible (alcance)</t>
  </si>
  <si>
    <t xml:space="preserve">No reproducible con IDs únicos del plan de pruebas.</t>
  </si>
  <si>
    <t xml:space="preserve">Aceptado con mitigación; documentado como must-fix para producción.</t>
  </si>
  <si>
    <t xml:space="preserve">Metricas de ejecucion por escenario (datos reales — statistics.csv)</t>
  </si>
  <si>
    <t xml:space="preserve">Escenario</t>
  </si>
  <si>
    <t xml:space="preserve">VUs</t>
  </si>
  <si>
    <t xml:space="preserve">p95 (ms)</t>
  </si>
  <si>
    <t xml:space="preserve">p99 (ms)</t>
  </si>
  <si>
    <t xml:space="preserve">Throughput</t>
  </si>
  <si>
    <t xml:space="preserve">Error %</t>
  </si>
  <si>
    <t xml:space="preserve">Cumple SLO</t>
  </si>
  <si>
    <t xml:space="preserve">Baseline</t>
  </si>
  <si>
    <t xml:space="preserve">Load</t>
  </si>
  <si>
    <t xml:space="preserve">Stress</t>
  </si>
  <si>
    <t xml:space="preserve">Spike</t>
  </si>
  <si>
    <t xml:space="preserve">Soak</t>
  </si>
  <si>
    <t xml:space="preserve">Indicadores resumen</t>
  </si>
  <si>
    <t xml:space="preserve">Total de defectos</t>
  </si>
  <si>
    <t xml:space="preserve">4</t>
  </si>
  <si>
    <t xml:space="preserve">Defectos P1 (criticos)</t>
  </si>
  <si>
    <t xml:space="preserve">Defectos P2</t>
  </si>
  <si>
    <t xml:space="preserve">% defectos prioridad P1</t>
  </si>
  <si>
    <t xml:space="preserve">Escenarios que cumplen los 3 SLO</t>
  </si>
  <si>
    <t xml:space="preserve">% escenarios conformes (de 5)</t>
  </si>
  <si>
    <t xml:space="preserve">Tasa de errores global</t>
  </si>
  <si>
    <t xml:space="preserve">0.0%</t>
  </si>
  <si>
    <t xml:space="preserve">Muestras totales ejecutadas</t>
  </si>
  <si>
    <t xml:space="preserve">11,104</t>
  </si>
  <si>
    <t xml:space="preserve">Densidad de defectos (def / escenario)</t>
  </si>
  <si>
    <t xml:space="preserve">Tasa de escape a produccion</t>
  </si>
  <si>
    <t xml:space="preserve">Capacidad operativa segura</t>
  </si>
  <si>
    <t xml:space="preserve">40-50 VUs (p95 &lt; 300 ms)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</si>
</sst>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.5"/>
      <color rgb="FF44546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16335B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.5"/>
      <color rgb="FF44546A"/>
      <name val="Arial"/>
      <family val="0"/>
      <charset val="1"/>
    </font>
    <font>
      <sz val="9.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6335B"/>
        <bgColor rgb="FF1B2A4A"/>
      </patternFill>
    </fill>
    <fill>
      <patternFill patternType="solid">
        <fgColor rgb="FF1B2A4A"/>
        <bgColor rgb="FF16335B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E6DB4"/>
        <bgColor rgb="FF0066CC"/>
      </patternFill>
    </fill>
    <fill>
      <patternFill patternType="solid">
        <fgColor rgb="FFDCE6F4"/>
        <bgColor rgb="FFEAF0F8"/>
      </patternFill>
    </fill>
    <fill>
      <patternFill patternType="solid">
        <fgColor rgb="FFEAF0F8"/>
        <bgColor rgb="FFF2F5F9"/>
      </patternFill>
    </fill>
    <fill>
      <patternFill patternType="solid">
        <fgColor rgb="FFFFFFFF"/>
        <bgColor rgb="FFF2F5F9"/>
      </patternFill>
    </fill>
    <fill>
      <patternFill patternType="solid">
        <fgColor rgb="FFF2F5F9"/>
        <bgColor rgb="FFEAF0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7D0DB"/>
      </left>
      <right style="thin">
        <color rgb="FFC7D0DB"/>
      </right>
      <top style="thin">
        <color rgb="FFC7D0DB"/>
      </top>
      <bottom style="thin">
        <color rgb="FFC7D0DB"/>
      </bottom>
      <diagonal/>
    </border>
    <border diagonalUp="false" diagonalDown="false">
      <left style="thin">
        <color rgb="FFC7D0DB"/>
      </left>
      <right/>
      <top style="thin">
        <color rgb="FFC7D0DB"/>
      </top>
      <bottom style="thin">
        <color rgb="FFC7D0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AF0F8"/>
      <rgbColor rgb="FF660066"/>
      <rgbColor rgb="FFFF8080"/>
      <rgbColor rgb="FF0066CC"/>
      <rgbColor rgb="FFC7D0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4"/>
      <rgbColor rgb="FFCCFFCC"/>
      <rgbColor rgb="FFFFFF99"/>
      <rgbColor rgb="FF99CCFF"/>
      <rgbColor rgb="FFFF99CC"/>
      <rgbColor rgb="FFCC99FF"/>
      <rgbColor rgb="FFFFCC99"/>
      <rgbColor rgb="FF2E6DB4"/>
      <rgbColor rgb="FF33CCCC"/>
      <rgbColor rgb="FF99CC00"/>
      <rgbColor rgb="FFFFCC00"/>
      <rgbColor rgb="FFFF9900"/>
      <rgbColor rgb="FFE67E22"/>
      <rgbColor rgb="FF44546A"/>
      <rgbColor rgb="FF969696"/>
      <rgbColor rgb="FF16335B"/>
      <rgbColor rgb="FF339966"/>
      <rgbColor rgb="FF003300"/>
      <rgbColor rgb="FF1A1A1A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3.75" hidden="false" customHeight="true" outlineLevel="0" collapsed="false">
      <c r="A5" s="4" t="n">
        <v>1</v>
      </c>
      <c r="B5" s="5" t="s">
        <v>10</v>
      </c>
      <c r="C5" s="6" t="s">
        <v>11</v>
      </c>
      <c r="D5" s="7" t="s">
        <v>12</v>
      </c>
      <c r="E5" s="8" t="s">
        <v>12</v>
      </c>
      <c r="F5" s="8" t="s">
        <v>13</v>
      </c>
      <c r="G5" s="4" t="n">
        <v>27</v>
      </c>
      <c r="H5" s="9" t="s">
        <v>14</v>
      </c>
    </row>
    <row r="6" customFormat="false" ht="33.75" hidden="false" customHeight="true" outlineLevel="0" collapsed="false">
      <c r="A6" s="4" t="n">
        <v>2</v>
      </c>
      <c r="B6" s="5" t="s">
        <v>15</v>
      </c>
      <c r="C6" s="6" t="s">
        <v>16</v>
      </c>
      <c r="D6" s="7" t="s">
        <v>12</v>
      </c>
      <c r="E6" s="8" t="s">
        <v>12</v>
      </c>
      <c r="F6" s="8" t="s">
        <v>13</v>
      </c>
      <c r="G6" s="4" t="n">
        <v>27</v>
      </c>
      <c r="H6" s="9" t="s">
        <v>14</v>
      </c>
    </row>
    <row r="7" customFormat="false" ht="33.75" hidden="false" customHeight="true" outlineLevel="0" collapsed="false">
      <c r="A7" s="4" t="n">
        <v>3</v>
      </c>
      <c r="B7" s="5" t="s">
        <v>17</v>
      </c>
      <c r="C7" s="6" t="s">
        <v>18</v>
      </c>
      <c r="D7" s="10" t="s">
        <v>19</v>
      </c>
      <c r="E7" s="8" t="s">
        <v>19</v>
      </c>
      <c r="F7" s="8" t="s">
        <v>20</v>
      </c>
      <c r="G7" s="4" t="n">
        <v>8</v>
      </c>
      <c r="H7" s="11" t="s">
        <v>21</v>
      </c>
    </row>
    <row r="8" customFormat="false" ht="33.75" hidden="false" customHeight="true" outlineLevel="0" collapsed="false">
      <c r="A8" s="4" t="n">
        <v>4</v>
      </c>
      <c r="B8" s="5" t="s">
        <v>22</v>
      </c>
      <c r="C8" s="6" t="s">
        <v>23</v>
      </c>
      <c r="D8" s="10" t="s">
        <v>19</v>
      </c>
      <c r="E8" s="8" t="s">
        <v>24</v>
      </c>
      <c r="F8" s="8" t="s">
        <v>13</v>
      </c>
      <c r="G8" s="4" t="n">
        <v>6</v>
      </c>
      <c r="H8" s="11" t="s">
        <v>21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4" hidden="false" customHeight="true" outlineLevel="0" collapsed="false">
      <c r="B2" s="12" t="s">
        <v>25</v>
      </c>
      <c r="C2" s="12"/>
    </row>
    <row r="3" customFormat="false" ht="15.75" hidden="false" customHeight="true" outlineLevel="0" collapsed="false">
      <c r="B3" s="13" t="s">
        <v>26</v>
      </c>
      <c r="C3" s="14" t="s">
        <v>27</v>
      </c>
    </row>
    <row r="4" customFormat="false" ht="15.75" hidden="false" customHeight="true" outlineLevel="0" collapsed="false">
      <c r="B4" s="13" t="s">
        <v>28</v>
      </c>
      <c r="C4" s="15" t="s">
        <v>29</v>
      </c>
    </row>
    <row r="5" customFormat="false" ht="15.75" hidden="false" customHeight="true" outlineLevel="0" collapsed="false">
      <c r="B5" s="13" t="s">
        <v>30</v>
      </c>
      <c r="C5" s="14" t="s">
        <v>31</v>
      </c>
    </row>
    <row r="6" customFormat="false" ht="15.75" hidden="false" customHeight="true" outlineLevel="0" collapsed="false">
      <c r="B6" s="13" t="s">
        <v>5</v>
      </c>
      <c r="C6" s="15" t="s">
        <v>12</v>
      </c>
    </row>
    <row r="7" customFormat="false" ht="15.75" hidden="false" customHeight="true" outlineLevel="0" collapsed="false">
      <c r="B7" s="13" t="s">
        <v>6</v>
      </c>
      <c r="C7" s="14" t="s">
        <v>12</v>
      </c>
    </row>
    <row r="8" customFormat="false" ht="15.75" hidden="false" customHeight="true" outlineLevel="0" collapsed="false">
      <c r="B8" s="13" t="s">
        <v>7</v>
      </c>
      <c r="C8" s="15" t="s">
        <v>13</v>
      </c>
    </row>
    <row r="9" customFormat="false" ht="15.75" hidden="false" customHeight="true" outlineLevel="0" collapsed="false">
      <c r="B9" s="13" t="s">
        <v>9</v>
      </c>
      <c r="C9" s="14" t="s">
        <v>14</v>
      </c>
    </row>
    <row r="10" customFormat="false" ht="15.75" hidden="false" customHeight="true" outlineLevel="0" collapsed="false">
      <c r="B10" s="13" t="s">
        <v>32</v>
      </c>
      <c r="C10" s="15" t="s">
        <v>33</v>
      </c>
    </row>
    <row r="11" customFormat="false" ht="42" hidden="false" customHeight="true" outlineLevel="0" collapsed="false">
      <c r="B11" s="13" t="s">
        <v>34</v>
      </c>
      <c r="C11" s="14" t="s">
        <v>35</v>
      </c>
    </row>
    <row r="12" customFormat="false" ht="15.75" hidden="false" customHeight="true" outlineLevel="0" collapsed="false">
      <c r="B12" s="13" t="s">
        <v>36</v>
      </c>
      <c r="C12" s="15" t="s">
        <v>37</v>
      </c>
    </row>
    <row r="13" customFormat="false" ht="27.75" hidden="false" customHeight="true" outlineLevel="0" collapsed="false">
      <c r="B13" s="13" t="s">
        <v>38</v>
      </c>
      <c r="C13" s="14" t="s">
        <v>39</v>
      </c>
    </row>
    <row r="14" customFormat="false" ht="15.75" hidden="false" customHeight="true" outlineLevel="0" collapsed="false">
      <c r="B14" s="13" t="s">
        <v>40</v>
      </c>
      <c r="C14" s="15" t="s">
        <v>41</v>
      </c>
    </row>
    <row r="15" customFormat="false" ht="27.75" hidden="false" customHeight="true" outlineLevel="0" collapsed="false">
      <c r="B15" s="13" t="s">
        <v>42</v>
      </c>
      <c r="C15" s="14" t="s">
        <v>43</v>
      </c>
    </row>
    <row r="16" customFormat="false" ht="27.75" hidden="false" customHeight="true" outlineLevel="0" collapsed="false">
      <c r="B16" s="13" t="s">
        <v>44</v>
      </c>
      <c r="C16" s="15" t="s">
        <v>45</v>
      </c>
    </row>
    <row r="17" customFormat="false" ht="15.75" hidden="false" customHeight="true" outlineLevel="0" collapsed="false">
      <c r="B17" s="13" t="s">
        <v>46</v>
      </c>
      <c r="C17" s="14" t="s">
        <v>47</v>
      </c>
    </row>
    <row r="18" customFormat="false" ht="15" hidden="false" customHeight="false" outlineLevel="0" collapsed="false">
      <c r="B18" s="16" t="s">
        <v>48</v>
      </c>
      <c r="C18" s="17"/>
    </row>
    <row r="19" customFormat="false" ht="15" hidden="false" customHeight="false" outlineLevel="0" collapsed="false">
      <c r="B19" s="18" t="s">
        <v>49</v>
      </c>
      <c r="C19" s="19" t="s">
        <v>50</v>
      </c>
    </row>
    <row r="20" customFormat="false" ht="23.85" hidden="false" customHeight="false" outlineLevel="0" collapsed="false">
      <c r="B20" s="18" t="s">
        <v>51</v>
      </c>
      <c r="C20" s="19" t="s">
        <v>52</v>
      </c>
    </row>
    <row r="21" customFormat="false" ht="15" hidden="false" customHeight="false" outlineLevel="0" collapsed="false">
      <c r="B21" s="18" t="s">
        <v>53</v>
      </c>
      <c r="C21" s="19" t="s">
        <v>54</v>
      </c>
    </row>
    <row r="22" customFormat="false" ht="15" hidden="false" customHeight="false" outlineLevel="0" collapsed="false">
      <c r="B22" s="18" t="s">
        <v>55</v>
      </c>
      <c r="C22" s="19" t="s">
        <v>56</v>
      </c>
    </row>
    <row r="24" customFormat="false" ht="24" hidden="false" customHeight="true" outlineLevel="0" collapsed="false">
      <c r="B24" s="12" t="s">
        <v>57</v>
      </c>
      <c r="C24" s="12"/>
    </row>
    <row r="25" customFormat="false" ht="15.75" hidden="false" customHeight="true" outlineLevel="0" collapsed="false">
      <c r="B25" s="13" t="s">
        <v>26</v>
      </c>
      <c r="C25" s="14" t="s">
        <v>58</v>
      </c>
    </row>
    <row r="26" customFormat="false" ht="15.75" hidden="false" customHeight="true" outlineLevel="0" collapsed="false">
      <c r="B26" s="13" t="s">
        <v>28</v>
      </c>
      <c r="C26" s="15" t="s">
        <v>59</v>
      </c>
    </row>
    <row r="27" customFormat="false" ht="15.75" hidden="false" customHeight="true" outlineLevel="0" collapsed="false">
      <c r="B27" s="13" t="s">
        <v>30</v>
      </c>
      <c r="C27" s="14" t="s">
        <v>60</v>
      </c>
    </row>
    <row r="28" customFormat="false" ht="15.75" hidden="false" customHeight="true" outlineLevel="0" collapsed="false">
      <c r="B28" s="13" t="s">
        <v>5</v>
      </c>
      <c r="C28" s="15" t="s">
        <v>12</v>
      </c>
    </row>
    <row r="29" customFormat="false" ht="15.75" hidden="false" customHeight="true" outlineLevel="0" collapsed="false">
      <c r="B29" s="13" t="s">
        <v>6</v>
      </c>
      <c r="C29" s="14" t="s">
        <v>12</v>
      </c>
    </row>
    <row r="30" customFormat="false" ht="15.75" hidden="false" customHeight="true" outlineLevel="0" collapsed="false">
      <c r="B30" s="13" t="s">
        <v>7</v>
      </c>
      <c r="C30" s="15" t="s">
        <v>13</v>
      </c>
    </row>
    <row r="31" customFormat="false" ht="15.75" hidden="false" customHeight="true" outlineLevel="0" collapsed="false">
      <c r="B31" s="13" t="s">
        <v>9</v>
      </c>
      <c r="C31" s="14" t="s">
        <v>14</v>
      </c>
    </row>
    <row r="32" customFormat="false" ht="15.75" hidden="false" customHeight="true" outlineLevel="0" collapsed="false">
      <c r="B32" s="13" t="s">
        <v>32</v>
      </c>
      <c r="C32" s="15" t="s">
        <v>61</v>
      </c>
    </row>
    <row r="33" customFormat="false" ht="27.75" hidden="false" customHeight="true" outlineLevel="0" collapsed="false">
      <c r="B33" s="13" t="s">
        <v>34</v>
      </c>
      <c r="C33" s="14" t="s">
        <v>62</v>
      </c>
    </row>
    <row r="34" customFormat="false" ht="15.75" hidden="false" customHeight="true" outlineLevel="0" collapsed="false">
      <c r="B34" s="13" t="s">
        <v>36</v>
      </c>
      <c r="C34" s="15" t="s">
        <v>63</v>
      </c>
    </row>
    <row r="35" customFormat="false" ht="27.75" hidden="false" customHeight="true" outlineLevel="0" collapsed="false">
      <c r="B35" s="13" t="s">
        <v>38</v>
      </c>
      <c r="C35" s="14" t="s">
        <v>64</v>
      </c>
    </row>
    <row r="36" customFormat="false" ht="15.75" hidden="false" customHeight="true" outlineLevel="0" collapsed="false">
      <c r="B36" s="13" t="s">
        <v>40</v>
      </c>
      <c r="C36" s="15" t="s">
        <v>65</v>
      </c>
    </row>
    <row r="37" customFormat="false" ht="27.75" hidden="false" customHeight="true" outlineLevel="0" collapsed="false">
      <c r="B37" s="13" t="s">
        <v>42</v>
      </c>
      <c r="C37" s="14" t="s">
        <v>66</v>
      </c>
    </row>
    <row r="38" customFormat="false" ht="15.75" hidden="false" customHeight="true" outlineLevel="0" collapsed="false">
      <c r="B38" s="13" t="s">
        <v>44</v>
      </c>
      <c r="C38" s="15" t="s">
        <v>67</v>
      </c>
    </row>
    <row r="39" customFormat="false" ht="15.75" hidden="false" customHeight="true" outlineLevel="0" collapsed="false">
      <c r="B39" s="13" t="s">
        <v>46</v>
      </c>
      <c r="C39" s="14" t="s">
        <v>68</v>
      </c>
    </row>
    <row r="40" customFormat="false" ht="15" hidden="false" customHeight="false" outlineLevel="0" collapsed="false">
      <c r="B40" s="16" t="s">
        <v>48</v>
      </c>
      <c r="C40" s="17"/>
    </row>
    <row r="41" customFormat="false" ht="15" hidden="false" customHeight="false" outlineLevel="0" collapsed="false">
      <c r="B41" s="18" t="s">
        <v>49</v>
      </c>
      <c r="C41" s="19" t="s">
        <v>69</v>
      </c>
    </row>
    <row r="42" customFormat="false" ht="23.85" hidden="false" customHeight="false" outlineLevel="0" collapsed="false">
      <c r="B42" s="18" t="s">
        <v>51</v>
      </c>
      <c r="C42" s="19" t="s">
        <v>70</v>
      </c>
    </row>
    <row r="43" customFormat="false" ht="15" hidden="false" customHeight="false" outlineLevel="0" collapsed="false">
      <c r="B43" s="18" t="s">
        <v>71</v>
      </c>
      <c r="C43" s="19" t="s">
        <v>72</v>
      </c>
    </row>
    <row r="45" customFormat="false" ht="24" hidden="false" customHeight="true" outlineLevel="0" collapsed="false">
      <c r="B45" s="12" t="s">
        <v>73</v>
      </c>
      <c r="C45" s="12"/>
    </row>
    <row r="46" customFormat="false" ht="15.75" hidden="false" customHeight="true" outlineLevel="0" collapsed="false">
      <c r="B46" s="13" t="s">
        <v>26</v>
      </c>
      <c r="C46" s="14" t="s">
        <v>74</v>
      </c>
    </row>
    <row r="47" customFormat="false" ht="15.75" hidden="false" customHeight="true" outlineLevel="0" collapsed="false">
      <c r="B47" s="13" t="s">
        <v>28</v>
      </c>
      <c r="C47" s="15" t="s">
        <v>75</v>
      </c>
    </row>
    <row r="48" customFormat="false" ht="15.75" hidden="false" customHeight="true" outlineLevel="0" collapsed="false">
      <c r="B48" s="13" t="s">
        <v>30</v>
      </c>
      <c r="C48" s="14" t="s">
        <v>76</v>
      </c>
    </row>
    <row r="49" customFormat="false" ht="15.75" hidden="false" customHeight="true" outlineLevel="0" collapsed="false">
      <c r="B49" s="13" t="s">
        <v>5</v>
      </c>
      <c r="C49" s="15" t="s">
        <v>19</v>
      </c>
    </row>
    <row r="50" customFormat="false" ht="15.75" hidden="false" customHeight="true" outlineLevel="0" collapsed="false">
      <c r="B50" s="13" t="s">
        <v>6</v>
      </c>
      <c r="C50" s="14" t="s">
        <v>19</v>
      </c>
    </row>
    <row r="51" customFormat="false" ht="15.75" hidden="false" customHeight="true" outlineLevel="0" collapsed="false">
      <c r="B51" s="13" t="s">
        <v>7</v>
      </c>
      <c r="C51" s="15" t="s">
        <v>20</v>
      </c>
    </row>
    <row r="52" customFormat="false" ht="15.75" hidden="false" customHeight="true" outlineLevel="0" collapsed="false">
      <c r="B52" s="13" t="s">
        <v>9</v>
      </c>
      <c r="C52" s="14" t="s">
        <v>21</v>
      </c>
    </row>
    <row r="53" customFormat="false" ht="15.75" hidden="false" customHeight="true" outlineLevel="0" collapsed="false">
      <c r="B53" s="13" t="s">
        <v>32</v>
      </c>
      <c r="C53" s="15" t="s">
        <v>77</v>
      </c>
    </row>
    <row r="54" customFormat="false" ht="42" hidden="false" customHeight="true" outlineLevel="0" collapsed="false">
      <c r="B54" s="13" t="s">
        <v>34</v>
      </c>
      <c r="C54" s="14" t="s">
        <v>78</v>
      </c>
    </row>
    <row r="55" customFormat="false" ht="15.75" hidden="false" customHeight="true" outlineLevel="0" collapsed="false">
      <c r="B55" s="13" t="s">
        <v>36</v>
      </c>
      <c r="C55" s="15" t="s">
        <v>79</v>
      </c>
    </row>
    <row r="56" customFormat="false" ht="15.75" hidden="false" customHeight="true" outlineLevel="0" collapsed="false">
      <c r="B56" s="13" t="s">
        <v>38</v>
      </c>
      <c r="C56" s="14" t="s">
        <v>80</v>
      </c>
    </row>
    <row r="57" customFormat="false" ht="15.75" hidden="false" customHeight="true" outlineLevel="0" collapsed="false">
      <c r="B57" s="13" t="s">
        <v>40</v>
      </c>
      <c r="C57" s="15" t="s">
        <v>81</v>
      </c>
    </row>
    <row r="58" customFormat="false" ht="27.75" hidden="false" customHeight="true" outlineLevel="0" collapsed="false">
      <c r="B58" s="13" t="s">
        <v>42</v>
      </c>
      <c r="C58" s="14" t="s">
        <v>82</v>
      </c>
    </row>
    <row r="59" customFormat="false" ht="27.75" hidden="false" customHeight="true" outlineLevel="0" collapsed="false">
      <c r="B59" s="13" t="s">
        <v>44</v>
      </c>
      <c r="C59" s="15" t="s">
        <v>83</v>
      </c>
    </row>
    <row r="60" customFormat="false" ht="42" hidden="false" customHeight="true" outlineLevel="0" collapsed="false">
      <c r="B60" s="13" t="s">
        <v>46</v>
      </c>
      <c r="C60" s="14" t="s">
        <v>84</v>
      </c>
    </row>
    <row r="61" customFormat="false" ht="15" hidden="false" customHeight="false" outlineLevel="0" collapsed="false">
      <c r="B61" s="16" t="s">
        <v>48</v>
      </c>
      <c r="C61" s="17"/>
    </row>
    <row r="62" customFormat="false" ht="15" hidden="false" customHeight="false" outlineLevel="0" collapsed="false">
      <c r="B62" s="18" t="s">
        <v>49</v>
      </c>
      <c r="C62" s="19" t="s">
        <v>85</v>
      </c>
    </row>
    <row r="63" customFormat="false" ht="23.85" hidden="false" customHeight="false" outlineLevel="0" collapsed="false">
      <c r="B63" s="18" t="s">
        <v>51</v>
      </c>
      <c r="C63" s="19" t="s">
        <v>86</v>
      </c>
    </row>
    <row r="64" customFormat="false" ht="15" hidden="false" customHeight="false" outlineLevel="0" collapsed="false">
      <c r="B64" s="18" t="s">
        <v>87</v>
      </c>
      <c r="C64" s="19" t="s">
        <v>88</v>
      </c>
    </row>
    <row r="65" customFormat="false" ht="23.85" hidden="false" customHeight="false" outlineLevel="0" collapsed="false">
      <c r="B65" s="18" t="s">
        <v>89</v>
      </c>
      <c r="C65" s="19" t="s">
        <v>90</v>
      </c>
    </row>
    <row r="67" customFormat="false" ht="24" hidden="false" customHeight="true" outlineLevel="0" collapsed="false">
      <c r="B67" s="12" t="s">
        <v>91</v>
      </c>
      <c r="C67" s="12"/>
    </row>
    <row r="68" customFormat="false" ht="15.75" hidden="false" customHeight="true" outlineLevel="0" collapsed="false">
      <c r="B68" s="13" t="s">
        <v>26</v>
      </c>
      <c r="C68" s="14" t="s">
        <v>92</v>
      </c>
    </row>
    <row r="69" customFormat="false" ht="15.75" hidden="false" customHeight="true" outlineLevel="0" collapsed="false">
      <c r="B69" s="13" t="s">
        <v>28</v>
      </c>
      <c r="C69" s="15" t="s">
        <v>93</v>
      </c>
    </row>
    <row r="70" customFormat="false" ht="15.75" hidden="false" customHeight="true" outlineLevel="0" collapsed="false">
      <c r="B70" s="13" t="s">
        <v>30</v>
      </c>
      <c r="C70" s="14" t="s">
        <v>94</v>
      </c>
    </row>
    <row r="71" customFormat="false" ht="15.75" hidden="false" customHeight="true" outlineLevel="0" collapsed="false">
      <c r="B71" s="13" t="s">
        <v>5</v>
      </c>
      <c r="C71" s="15" t="s">
        <v>19</v>
      </c>
    </row>
    <row r="72" customFormat="false" ht="15.75" hidden="false" customHeight="true" outlineLevel="0" collapsed="false">
      <c r="B72" s="13" t="s">
        <v>6</v>
      </c>
      <c r="C72" s="14" t="s">
        <v>24</v>
      </c>
    </row>
    <row r="73" customFormat="false" ht="15.75" hidden="false" customHeight="true" outlineLevel="0" collapsed="false">
      <c r="B73" s="13" t="s">
        <v>7</v>
      </c>
      <c r="C73" s="15" t="s">
        <v>13</v>
      </c>
    </row>
    <row r="74" customFormat="false" ht="15.75" hidden="false" customHeight="true" outlineLevel="0" collapsed="false">
      <c r="B74" s="13" t="s">
        <v>9</v>
      </c>
      <c r="C74" s="14" t="s">
        <v>21</v>
      </c>
    </row>
    <row r="75" customFormat="false" ht="15.75" hidden="false" customHeight="true" outlineLevel="0" collapsed="false">
      <c r="B75" s="13" t="s">
        <v>32</v>
      </c>
      <c r="C75" s="15" t="s">
        <v>77</v>
      </c>
    </row>
    <row r="76" customFormat="false" ht="42" hidden="false" customHeight="true" outlineLevel="0" collapsed="false">
      <c r="B76" s="13" t="s">
        <v>34</v>
      </c>
      <c r="C76" s="14" t="s">
        <v>95</v>
      </c>
    </row>
    <row r="77" customFormat="false" ht="15.75" hidden="false" customHeight="true" outlineLevel="0" collapsed="false">
      <c r="B77" s="13" t="s">
        <v>36</v>
      </c>
      <c r="C77" s="15" t="s">
        <v>96</v>
      </c>
    </row>
    <row r="78" customFormat="false" ht="27.75" hidden="false" customHeight="true" outlineLevel="0" collapsed="false">
      <c r="B78" s="13" t="s">
        <v>38</v>
      </c>
      <c r="C78" s="14" t="s">
        <v>97</v>
      </c>
    </row>
    <row r="79" customFormat="false" ht="15.75" hidden="false" customHeight="true" outlineLevel="0" collapsed="false">
      <c r="B79" s="13" t="s">
        <v>40</v>
      </c>
      <c r="C79" s="15" t="s">
        <v>98</v>
      </c>
    </row>
    <row r="80" customFormat="false" ht="27.75" hidden="false" customHeight="true" outlineLevel="0" collapsed="false">
      <c r="B80" s="13" t="s">
        <v>42</v>
      </c>
      <c r="C80" s="14" t="s">
        <v>99</v>
      </c>
    </row>
    <row r="81" customFormat="false" ht="27.75" hidden="false" customHeight="true" outlineLevel="0" collapsed="false">
      <c r="B81" s="13" t="s">
        <v>44</v>
      </c>
      <c r="C81" s="15" t="s">
        <v>100</v>
      </c>
    </row>
    <row r="82" customFormat="false" ht="42" hidden="false" customHeight="true" outlineLevel="0" collapsed="false">
      <c r="B82" s="13" t="s">
        <v>46</v>
      </c>
      <c r="C82" s="14" t="s">
        <v>101</v>
      </c>
    </row>
    <row r="83" customFormat="false" ht="15" hidden="false" customHeight="false" outlineLevel="0" collapsed="false">
      <c r="B83" s="16" t="s">
        <v>48</v>
      </c>
      <c r="C83" s="17"/>
    </row>
    <row r="84" customFormat="false" ht="15" hidden="false" customHeight="false" outlineLevel="0" collapsed="false">
      <c r="B84" s="18" t="s">
        <v>49</v>
      </c>
      <c r="C84" s="19" t="s">
        <v>102</v>
      </c>
    </row>
    <row r="85" customFormat="false" ht="23.85" hidden="false" customHeight="false" outlineLevel="0" collapsed="false">
      <c r="B85" s="18" t="s">
        <v>51</v>
      </c>
      <c r="C85" s="19" t="s">
        <v>103</v>
      </c>
    </row>
    <row r="86" customFormat="false" ht="23.85" hidden="false" customHeight="false" outlineLevel="0" collapsed="false">
      <c r="B86" s="18" t="s">
        <v>104</v>
      </c>
      <c r="C86" s="19" t="s">
        <v>105</v>
      </c>
    </row>
    <row r="87" customFormat="false" ht="23.85" hidden="false" customHeight="false" outlineLevel="0" collapsed="false">
      <c r="B87" s="18" t="s">
        <v>89</v>
      </c>
      <c r="C87" s="19" t="s">
        <v>106</v>
      </c>
    </row>
  </sheetData>
  <mergeCells count="4">
    <mergeCell ref="B2:C2"/>
    <mergeCell ref="B24:C24"/>
    <mergeCell ref="B45:C45"/>
    <mergeCell ref="B67: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2"/>
  </cols>
  <sheetData>
    <row r="2" customFormat="false" ht="24" hidden="false" customHeight="true" outlineLevel="0" collapsed="false">
      <c r="B2" s="20" t="s">
        <v>107</v>
      </c>
      <c r="C2" s="20"/>
      <c r="D2" s="20"/>
      <c r="E2" s="20"/>
      <c r="F2" s="20"/>
      <c r="G2" s="20"/>
      <c r="H2" s="20"/>
    </row>
    <row r="4" customFormat="false" ht="25.5" hidden="false" customHeight="true" outlineLevel="0" collapsed="false">
      <c r="B4" s="3" t="s">
        <v>108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113</v>
      </c>
      <c r="H4" s="3" t="s">
        <v>114</v>
      </c>
    </row>
    <row r="5" customFormat="false" ht="15" hidden="false" customHeight="false" outlineLevel="0" collapsed="false">
      <c r="B5" s="21" t="s">
        <v>115</v>
      </c>
      <c r="C5" s="8" t="n">
        <v>8</v>
      </c>
      <c r="D5" s="8" t="n">
        <v>51</v>
      </c>
      <c r="E5" s="8" t="n">
        <v>56.8</v>
      </c>
      <c r="F5" s="8" t="n">
        <v>169.9</v>
      </c>
      <c r="G5" s="8" t="n">
        <v>0</v>
      </c>
      <c r="H5" s="22" t="str">
        <f aca="false">IF(AND(D5&lt;300,E5&lt;800,F5&lt;1),"Si","No")</f>
        <v>No</v>
      </c>
    </row>
    <row r="6" customFormat="false" ht="15" hidden="false" customHeight="false" outlineLevel="0" collapsed="false">
      <c r="B6" s="21" t="s">
        <v>116</v>
      </c>
      <c r="C6" s="8" t="n">
        <v>40</v>
      </c>
      <c r="D6" s="8" t="n">
        <v>242</v>
      </c>
      <c r="E6" s="8" t="n">
        <v>262.1</v>
      </c>
      <c r="F6" s="8" t="n">
        <v>175.3</v>
      </c>
      <c r="G6" s="8" t="n">
        <v>0</v>
      </c>
      <c r="H6" s="22" t="str">
        <f aca="false">IF(AND(D6&lt;300,E6&lt;800,F6&lt;1),"Si","No")</f>
        <v>No</v>
      </c>
    </row>
    <row r="7" customFormat="false" ht="15" hidden="false" customHeight="false" outlineLevel="0" collapsed="false">
      <c r="B7" s="21" t="s">
        <v>117</v>
      </c>
      <c r="C7" s="8" t="n">
        <v>120</v>
      </c>
      <c r="D7" s="8" t="n">
        <v>710</v>
      </c>
      <c r="E7" s="8" t="n">
        <v>765.4</v>
      </c>
      <c r="F7" s="8" t="n">
        <v>174.6</v>
      </c>
      <c r="G7" s="8" t="n">
        <v>0</v>
      </c>
      <c r="H7" s="22" t="str">
        <f aca="false">IF(AND(D7&lt;300,E7&lt;800,F7&lt;1),"Si","No")</f>
        <v>No</v>
      </c>
    </row>
    <row r="8" customFormat="false" ht="15" hidden="false" customHeight="false" outlineLevel="0" collapsed="false">
      <c r="B8" s="21" t="s">
        <v>118</v>
      </c>
      <c r="C8" s="8" t="n">
        <v>160</v>
      </c>
      <c r="D8" s="8" t="n">
        <v>909</v>
      </c>
      <c r="E8" s="8" t="n">
        <v>934.7</v>
      </c>
      <c r="F8" s="8" t="n">
        <v>175.6</v>
      </c>
      <c r="G8" s="8" t="n">
        <v>0</v>
      </c>
      <c r="H8" s="22" t="str">
        <f aca="false">IF(AND(D8&lt;300,E8&lt;800,F8&lt;1),"Si","No")</f>
        <v>No</v>
      </c>
    </row>
    <row r="9" customFormat="false" ht="15" hidden="false" customHeight="false" outlineLevel="0" collapsed="false">
      <c r="B9" s="21" t="s">
        <v>119</v>
      </c>
      <c r="C9" s="8" t="n">
        <v>16</v>
      </c>
      <c r="D9" s="8" t="n">
        <v>95.3</v>
      </c>
      <c r="E9" s="8" t="n">
        <v>125</v>
      </c>
      <c r="F9" s="8" t="n">
        <v>178.6</v>
      </c>
      <c r="G9" s="8" t="n">
        <v>0</v>
      </c>
      <c r="H9" s="22" t="str">
        <f aca="false">IF(AND(D9&lt;300,E9&lt;800,F9&lt;1),"Si","No")</f>
        <v>No</v>
      </c>
    </row>
    <row r="11" customFormat="false" ht="21.75" hidden="false" customHeight="true" outlineLevel="0" collapsed="false">
      <c r="B11" s="23" t="s">
        <v>120</v>
      </c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B12" s="24" t="s">
        <v>121</v>
      </c>
      <c r="C12" s="25" t="s">
        <v>122</v>
      </c>
      <c r="D12" s="25"/>
      <c r="E12" s="25"/>
      <c r="F12" s="25"/>
      <c r="G12" s="25"/>
      <c r="H12" s="25"/>
    </row>
    <row r="13" customFormat="false" ht="15" hidden="false" customHeight="false" outlineLevel="0" collapsed="false">
      <c r="B13" s="24" t="s">
        <v>123</v>
      </c>
      <c r="C13" s="25" t="n">
        <f aca="false">COUNTIF('Defectos priorizados'!H5:H8,"P1")</f>
        <v>2</v>
      </c>
      <c r="D13" s="25"/>
      <c r="E13" s="25"/>
      <c r="F13" s="25"/>
      <c r="G13" s="25"/>
      <c r="H13" s="25"/>
    </row>
    <row r="14" customFormat="false" ht="15" hidden="false" customHeight="false" outlineLevel="0" collapsed="false">
      <c r="B14" s="24" t="s">
        <v>124</v>
      </c>
      <c r="C14" s="25" t="n">
        <f aca="false">COUNTIF('Defectos priorizados'!H5:H8,"P2")</f>
        <v>2</v>
      </c>
      <c r="D14" s="25"/>
      <c r="E14" s="25"/>
      <c r="F14" s="25"/>
      <c r="G14" s="25"/>
      <c r="H14" s="25"/>
    </row>
    <row r="15" customFormat="false" ht="15" hidden="false" customHeight="false" outlineLevel="0" collapsed="false">
      <c r="B15" s="24" t="s">
        <v>125</v>
      </c>
      <c r="C15" s="26" t="n">
        <f aca="false">COUNTIF('Defectos priorizados'!H5:H8,"P1")/COUNTA('Defectos priorizados'!B5:B8)</f>
        <v>0.5</v>
      </c>
      <c r="D15" s="26"/>
      <c r="E15" s="26"/>
      <c r="F15" s="26"/>
      <c r="G15" s="26"/>
      <c r="H15" s="26"/>
    </row>
    <row r="16" customFormat="false" ht="15" hidden="false" customHeight="false" outlineLevel="0" collapsed="false">
      <c r="B16" s="24" t="s">
        <v>126</v>
      </c>
      <c r="C16" s="25" t="n">
        <f aca="false">COUNTIF(H5:H9,"Si")</f>
        <v>0</v>
      </c>
      <c r="D16" s="25"/>
      <c r="E16" s="25"/>
      <c r="F16" s="25"/>
      <c r="G16" s="25"/>
      <c r="H16" s="25"/>
    </row>
    <row r="17" customFormat="false" ht="15" hidden="false" customHeight="false" outlineLevel="0" collapsed="false">
      <c r="B17" s="24" t="s">
        <v>127</v>
      </c>
      <c r="C17" s="26" t="n">
        <f aca="false">COUNTIF(H5:H9,"Si")/5</f>
        <v>0</v>
      </c>
      <c r="D17" s="26"/>
      <c r="E17" s="26"/>
      <c r="F17" s="26"/>
      <c r="G17" s="26"/>
      <c r="H17" s="26"/>
    </row>
    <row r="18" customFormat="false" ht="15" hidden="false" customHeight="false" outlineLevel="0" collapsed="false">
      <c r="B18" s="24" t="s">
        <v>128</v>
      </c>
      <c r="C18" s="26" t="s">
        <v>129</v>
      </c>
      <c r="D18" s="26"/>
      <c r="E18" s="26"/>
      <c r="F18" s="26"/>
      <c r="G18" s="26"/>
      <c r="H18" s="26"/>
    </row>
    <row r="19" customFormat="false" ht="15" hidden="false" customHeight="false" outlineLevel="0" collapsed="false">
      <c r="B19" s="24" t="s">
        <v>130</v>
      </c>
      <c r="C19" s="25" t="s">
        <v>131</v>
      </c>
      <c r="D19" s="25"/>
      <c r="E19" s="25"/>
      <c r="F19" s="25"/>
      <c r="G19" s="25"/>
      <c r="H19" s="25"/>
    </row>
    <row r="20" customFormat="false" ht="15" hidden="false" customHeight="false" outlineLevel="0" collapsed="false">
      <c r="B20" s="24" t="s">
        <v>132</v>
      </c>
      <c r="C20" s="25" t="n">
        <f aca="false">4/5</f>
        <v>0.8</v>
      </c>
      <c r="D20" s="25"/>
      <c r="E20" s="25"/>
      <c r="F20" s="25"/>
      <c r="G20" s="25"/>
      <c r="H20" s="25"/>
    </row>
    <row r="21" customFormat="false" ht="15" hidden="false" customHeight="false" outlineLevel="0" collapsed="false">
      <c r="B21" s="24" t="s">
        <v>133</v>
      </c>
      <c r="C21" s="26" t="s">
        <v>129</v>
      </c>
      <c r="D21" s="26"/>
      <c r="E21" s="26"/>
      <c r="F21" s="26"/>
      <c r="G21" s="26"/>
      <c r="H21" s="26"/>
    </row>
    <row r="22" customFormat="false" ht="15" hidden="false" customHeight="false" outlineLevel="0" collapsed="false">
      <c r="B22" s="24" t="s">
        <v>134</v>
      </c>
      <c r="C22" s="25" t="s">
        <v>135</v>
      </c>
      <c r="D22" s="25"/>
      <c r="E22" s="25"/>
      <c r="F22" s="25"/>
      <c r="G22" s="25"/>
      <c r="H22" s="25"/>
    </row>
  </sheetData>
  <mergeCells count="13">
    <mergeCell ref="B2:H2"/>
    <mergeCell ref="B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2026-06-21T20:15:46Z</dcterms:created>
  <dc:creator>openpyxl</dc:creator>
  <dc:description/>
  <dc:language>en-US</dc:language>
  <cp:lastModifiedBy/>
  <dcterms:modified xsi:type="dcterms:W3CDTF">2026-06-21T20:15:46Z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